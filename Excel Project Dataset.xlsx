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cuments\Projects\Excel\"/>
    </mc:Choice>
  </mc:AlternateContent>
  <bookViews>
    <workbookView xWindow="0" yWindow="0" windowWidth="23040" windowHeight="9192"/>
  </bookViews>
  <sheets>
    <sheet name="bike_buyers" sheetId="1" r:id="rId1"/>
    <sheet name="Pivot Table" sheetId="3" r:id="rId2"/>
    <sheet name="Dashboard" sheetId="2" r:id="rId3"/>
    <sheet name="Worksheet" sheetId="5"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8" i="5" l="1"/>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3" i="5"/>
  <c r="M4" i="5"/>
  <c r="M5" i="5"/>
  <c r="M6" i="5"/>
  <c r="M7" i="5"/>
  <c r="M8" i="5"/>
  <c r="M9" i="5"/>
  <c r="M10" i="5"/>
  <c r="M11" i="5"/>
  <c r="M12" i="5"/>
  <c r="M13" i="5"/>
  <c r="M14" i="5"/>
  <c r="M15" i="5"/>
  <c r="M16" i="5"/>
  <c r="M17" i="5"/>
  <c r="M18" i="5"/>
  <c r="M19" i="5"/>
  <c r="M20" i="5"/>
  <c r="M21" i="5"/>
  <c r="M22" i="5"/>
  <c r="M23" i="5"/>
  <c r="M24" i="5"/>
  <c r="M25" i="5"/>
  <c r="M26" i="5"/>
  <c r="M27" i="5"/>
  <c r="M2" i="5"/>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<sst xmlns="http://schemas.openxmlformats.org/spreadsheetml/2006/main" count="16272" uniqueCount="51">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</sst>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0">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2" formatCode="0.00"/>
    </dxf>
    <dxf>
      <numFmt numFmtId="166" formatCode="0.000"/>
    </dxf>
    <dxf>
      <numFmt numFmtId="2" formatCode="0.00"/>
    </dxf>
    <dxf>
      <numFmt numFmtId="167" formatCode="0.0"/>
    </dxf>
    <dxf>
      <numFmt numFmtId="1" formatCode="0"/>
    </dxf>
    <dxf>
      <numFmt numFmtId="167" formatCode="0.0"/>
    </dxf>
    <dxf>
      <numFmt numFmtId="1" formatCode="0"/>
    </dxf>
    <dxf>
      <numFmt numFmtId="35" formatCode="_ * #,##0.00_ ;_ * \-#,##0.00_ ;_ * &quot;-&quot;??_ ;_ @_ "/>
    </dxf>
    <dxf>
      <numFmt numFmtId="168" formatCode="_ * #,##0.0_ ;_ * \-#,##0.0_ ;_ * &quot;-&quot;??_ ;_ @_ "/>
    </dxf>
    <dxf>
      <numFmt numFmtId="165" formatCode="_ * #,##0_ ;_ * \-#,##0_ ;_ * &quot;-&quot;??_ ;_ @_ "/>
    </dxf>
    <dxf>
      <numFmt numFmtId="165" formatCode="_ * #,##0_ ;_ * \-#,##0_ ;_ * &quot;-&quot;??_ ;_ @_ "/>
    </dxf>
    <dxf>
      <numFmt numFmtId="168" formatCode="_ * #,##0.0_ ;_ * \-#,##0.0_ ;_ * &quot;-&quot;??_ ;_ @_ "/>
    </dxf>
    <dxf>
      <numFmt numFmtId="35" formatCode="_ * #,##0.00_ ;_ * \-#,##0.00_ ;_ * &quot;-&quot;??_ ;_ @_ "/>
    </dxf>
    <dxf>
      <numFmt numFmtId="1" formatCode="0"/>
    </dxf>
    <dxf>
      <numFmt numFmtId="167" formatCode="0.0"/>
    </dxf>
    <dxf>
      <numFmt numFmtId="1" formatCode="0"/>
    </dxf>
    <dxf>
      <numFmt numFmtId="167" formatCode="0.0"/>
    </dxf>
    <dxf>
      <numFmt numFmtId="2" formatCode="0.00"/>
    </dxf>
    <dxf>
      <numFmt numFmtId="166" formatCode="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7D4A-4AB4-A429-961095A1D4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7D4A-4AB4-A429-961095A1D419}"/>
            </c:ext>
          </c:extLst>
        </c:ser>
        <c:dLbls>
          <c:showLegendKey val="0"/>
          <c:showVal val="0"/>
          <c:showCatName val="0"/>
          <c:showSerName val="0"/>
          <c:showPercent val="0"/>
          <c:showBubbleSize val="0"/>
        </c:dLbls>
        <c:gapWidth val="219"/>
        <c:overlap val="-27"/>
        <c:axId val="689755791"/>
        <c:axId val="453632463"/>
      </c:barChart>
      <c:catAx>
        <c:axId val="689755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32463"/>
        <c:crosses val="autoZero"/>
        <c:auto val="1"/>
        <c:lblAlgn val="ctr"/>
        <c:lblOffset val="100"/>
        <c:noMultiLvlLbl val="0"/>
      </c:catAx>
      <c:valAx>
        <c:axId val="453632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755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5C8-418F-9658-E0C614CD7CE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5C8-418F-9658-E0C614CD7CE5}"/>
            </c:ext>
          </c:extLst>
        </c:ser>
        <c:dLbls>
          <c:showLegendKey val="0"/>
          <c:showVal val="0"/>
          <c:showCatName val="0"/>
          <c:showSerName val="0"/>
          <c:showPercent val="0"/>
          <c:showBubbleSize val="0"/>
        </c:dLbls>
        <c:smooth val="0"/>
        <c:axId val="689757455"/>
        <c:axId val="689749967"/>
      </c:lineChart>
      <c:catAx>
        <c:axId val="68975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749967"/>
        <c:crosses val="autoZero"/>
        <c:auto val="1"/>
        <c:lblAlgn val="ctr"/>
        <c:lblOffset val="100"/>
        <c:noMultiLvlLbl val="0"/>
      </c:catAx>
      <c:valAx>
        <c:axId val="6897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7574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Middle Age</c:v>
                </c:pt>
                <c:pt idx="1">
                  <c:v>Old</c:v>
                </c:pt>
                <c:pt idx="2">
                  <c:v>Young</c:v>
                </c:pt>
              </c:strCache>
            </c:strRef>
          </c:cat>
          <c:val>
            <c:numRef>
              <c:f>'Pivot Table'!$B$41:$B$44</c:f>
              <c:numCache>
                <c:formatCode>General</c:formatCode>
                <c:ptCount val="3"/>
                <c:pt idx="0">
                  <c:v>305</c:v>
                </c:pt>
                <c:pt idx="1">
                  <c:v>166</c:v>
                </c:pt>
                <c:pt idx="2">
                  <c:v>48</c:v>
                </c:pt>
              </c:numCache>
            </c:numRef>
          </c:val>
          <c:smooth val="0"/>
          <c:extLst>
            <c:ext xmlns:c16="http://schemas.microsoft.com/office/drawing/2014/chart" uri="{C3380CC4-5D6E-409C-BE32-E72D297353CC}">
              <c16:uniqueId val="{00000000-0C11-45B1-9DD5-8BA337C8C588}"/>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Middle Age</c:v>
                </c:pt>
                <c:pt idx="1">
                  <c:v>Old</c:v>
                </c:pt>
                <c:pt idx="2">
                  <c:v>Young</c:v>
                </c:pt>
              </c:strCache>
            </c:strRef>
          </c:cat>
          <c:val>
            <c:numRef>
              <c:f>'Pivot Table'!$C$41:$C$44</c:f>
              <c:numCache>
                <c:formatCode>General</c:formatCode>
                <c:ptCount val="3"/>
                <c:pt idx="0">
                  <c:v>336</c:v>
                </c:pt>
                <c:pt idx="1">
                  <c:v>110</c:v>
                </c:pt>
                <c:pt idx="2">
                  <c:v>35</c:v>
                </c:pt>
              </c:numCache>
            </c:numRef>
          </c:val>
          <c:smooth val="0"/>
          <c:extLst>
            <c:ext xmlns:c16="http://schemas.microsoft.com/office/drawing/2014/chart" uri="{C3380CC4-5D6E-409C-BE32-E72D297353CC}">
              <c16:uniqueId val="{00000001-0C11-45B1-9DD5-8BA337C8C588}"/>
            </c:ext>
          </c:extLst>
        </c:ser>
        <c:dLbls>
          <c:showLegendKey val="0"/>
          <c:showVal val="0"/>
          <c:showCatName val="0"/>
          <c:showSerName val="0"/>
          <c:showPercent val="0"/>
          <c:showBubbleSize val="0"/>
        </c:dLbls>
        <c:marker val="1"/>
        <c:smooth val="0"/>
        <c:axId val="689753295"/>
        <c:axId val="689753711"/>
      </c:lineChart>
      <c:catAx>
        <c:axId val="68975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753711"/>
        <c:crosses val="autoZero"/>
        <c:auto val="1"/>
        <c:lblAlgn val="ctr"/>
        <c:lblOffset val="100"/>
        <c:noMultiLvlLbl val="0"/>
      </c:catAx>
      <c:valAx>
        <c:axId val="68975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7532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layout/>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 Table'!$B$56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Table'!$A$57:$A$59</c:f>
              <c:strCache>
                <c:ptCount val="2"/>
                <c:pt idx="0">
                  <c:v>No</c:v>
                </c:pt>
                <c:pt idx="1">
                  <c:v>Yes</c:v>
                </c:pt>
              </c:strCache>
            </c:strRef>
          </c:cat>
          <c:val>
            <c:numRef>
              <c:f>'Pivot Table'!$B$57:$B$59</c:f>
              <c:numCache>
                <c:formatCode>General</c:formatCode>
                <c:ptCount val="2"/>
                <c:pt idx="0">
                  <c:v>519</c:v>
                </c:pt>
                <c:pt idx="1">
                  <c:v>481</c:v>
                </c:pt>
              </c:numCache>
            </c:numRef>
          </c:val>
          <c:extLst>
            <c:ext xmlns:c16="http://schemas.microsoft.com/office/drawing/2014/chart" uri="{C3380CC4-5D6E-409C-BE32-E72D297353CC}">
              <c16:uniqueId val="{00000000-03CF-4EE7-98A8-F04B69C04C8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Average Income Per Purchase</a:t>
            </a:r>
          </a:p>
        </c:rich>
      </c:tx>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noFill/>
          <a:ln w="25400" cap="flat" cmpd="sng" algn="ctr">
            <a:solidFill>
              <a:schemeClr val="accent1"/>
            </a:solidFill>
            <a:miter lim="800000"/>
          </a:ln>
          <a:effectLst/>
        </c:spPr>
        <c:marker>
          <c:symbol val="none"/>
        </c:marker>
      </c:pivotFmt>
      <c:pivotFmt>
        <c:idx val="7"/>
        <c:spPr>
          <a:noFill/>
          <a:ln w="25400" cap="flat" cmpd="sng" algn="ctr">
            <a:solidFill>
              <a:schemeClr val="accent1"/>
            </a:solidFill>
            <a:miter lim="800000"/>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noFill/>
            <a:ln w="25400" cap="flat" cmpd="sng" algn="ctr">
              <a:solidFill>
                <a:schemeClr val="accent1"/>
              </a:solidFill>
              <a:miter lim="800000"/>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9914-4ECC-8A01-1C87A7A75EFC}"/>
            </c:ext>
          </c:extLst>
        </c:ser>
        <c:ser>
          <c:idx val="1"/>
          <c:order val="1"/>
          <c:tx>
            <c:strRef>
              <c:f>'Pivot Table'!$C$1:$C$2</c:f>
              <c:strCache>
                <c:ptCount val="1"/>
                <c:pt idx="0">
                  <c:v>Yes</c:v>
                </c:pt>
              </c:strCache>
            </c:strRef>
          </c:tx>
          <c:spPr>
            <a:noFill/>
            <a:ln w="25400" cap="flat" cmpd="sng" algn="ctr">
              <a:solidFill>
                <a:schemeClr val="accent2"/>
              </a:solidFill>
              <a:miter lim="800000"/>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9914-4ECC-8A01-1C87A7A75EFC}"/>
            </c:ext>
          </c:extLst>
        </c:ser>
        <c:dLbls>
          <c:showLegendKey val="0"/>
          <c:showVal val="0"/>
          <c:showCatName val="0"/>
          <c:showSerName val="0"/>
          <c:showPercent val="0"/>
          <c:showBubbleSize val="0"/>
        </c:dLbls>
        <c:gapWidth val="164"/>
        <c:overlap val="-35"/>
        <c:axId val="689755791"/>
        <c:axId val="453632463"/>
      </c:barChart>
      <c:catAx>
        <c:axId val="6897557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3632463"/>
        <c:crosses val="autoZero"/>
        <c:auto val="1"/>
        <c:lblAlgn val="ctr"/>
        <c:lblOffset val="100"/>
        <c:noMultiLvlLbl val="0"/>
      </c:catAx>
      <c:valAx>
        <c:axId val="45363246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8975579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9"/>
        <c:spPr>
          <a:ln w="22225" cap="rnd">
            <a:solidFill>
              <a:schemeClr val="accent1"/>
            </a:solidFill>
            <a:round/>
          </a:ln>
          <a:effectLst/>
        </c:spPr>
        <c:marker>
          <c:symbol val="square"/>
          <c:size val="6"/>
          <c:spPr>
            <a:solidFill>
              <a:schemeClr val="accent2"/>
            </a:solidFill>
            <a:ln w="9525">
              <a:solidFill>
                <a:schemeClr val="accent2"/>
              </a:solidFill>
              <a:round/>
            </a:ln>
            <a:effectLst/>
          </c:spPr>
        </c:marker>
      </c:pivotFmt>
    </c:pivotFmts>
    <c:plotArea>
      <c:layout/>
      <c:lineChart>
        <c:grouping val="standard"/>
        <c:varyColors val="0"/>
        <c:ser>
          <c:idx val="0"/>
          <c:order val="0"/>
          <c:tx>
            <c:strRef>
              <c:f>'Pivot Table'!$B$20:$B$21</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371-4F0B-BA2D-50E56DA7EBE5}"/>
            </c:ext>
          </c:extLst>
        </c:ser>
        <c:ser>
          <c:idx val="1"/>
          <c:order val="1"/>
          <c:tx>
            <c:strRef>
              <c:f>'Pivot Table'!$C$20:$C$21</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371-4F0B-BA2D-50E56DA7EBE5}"/>
            </c:ext>
          </c:extLst>
        </c:ser>
        <c:dLbls>
          <c:showLegendKey val="0"/>
          <c:showVal val="0"/>
          <c:showCatName val="0"/>
          <c:showSerName val="0"/>
          <c:showPercent val="0"/>
          <c:showBubbleSize val="0"/>
        </c:dLbls>
        <c:marker val="1"/>
        <c:smooth val="0"/>
        <c:axId val="689757455"/>
        <c:axId val="689749967"/>
      </c:lineChart>
      <c:catAx>
        <c:axId val="689757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9749967"/>
        <c:crosses val="autoZero"/>
        <c:auto val="1"/>
        <c:lblAlgn val="ctr"/>
        <c:lblOffset val="100"/>
        <c:noMultiLvlLbl val="0"/>
      </c:catAx>
      <c:valAx>
        <c:axId val="68974996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7574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9"/>
        <c:spPr>
          <a:ln w="22225" cap="rnd">
            <a:solidFill>
              <a:schemeClr val="accent1"/>
            </a:solidFill>
            <a:round/>
          </a:ln>
          <a:effectLst/>
        </c:spPr>
        <c:marker>
          <c:symbol val="square"/>
          <c:size val="6"/>
          <c:spPr>
            <a:solidFill>
              <a:schemeClr val="accent2"/>
            </a:solidFill>
            <a:ln w="9525">
              <a:solidFill>
                <a:schemeClr val="accent2"/>
              </a:solidFill>
              <a:round/>
            </a:ln>
            <a:effectLst/>
          </c:spPr>
        </c:marker>
      </c:pivotFmt>
    </c:pivotFmts>
    <c:plotArea>
      <c:layout/>
      <c:lineChart>
        <c:grouping val="standard"/>
        <c:varyColors val="0"/>
        <c:ser>
          <c:idx val="0"/>
          <c:order val="0"/>
          <c:tx>
            <c:strRef>
              <c:f>'Pivot Table'!$B$39:$B$40</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Table'!$A$41:$A$44</c:f>
              <c:strCache>
                <c:ptCount val="3"/>
                <c:pt idx="0">
                  <c:v>Middle Age</c:v>
                </c:pt>
                <c:pt idx="1">
                  <c:v>Old</c:v>
                </c:pt>
                <c:pt idx="2">
                  <c:v>Young</c:v>
                </c:pt>
              </c:strCache>
            </c:strRef>
          </c:cat>
          <c:val>
            <c:numRef>
              <c:f>'Pivot Table'!$B$41:$B$44</c:f>
              <c:numCache>
                <c:formatCode>General</c:formatCode>
                <c:ptCount val="3"/>
                <c:pt idx="0">
                  <c:v>305</c:v>
                </c:pt>
                <c:pt idx="1">
                  <c:v>166</c:v>
                </c:pt>
                <c:pt idx="2">
                  <c:v>48</c:v>
                </c:pt>
              </c:numCache>
            </c:numRef>
          </c:val>
          <c:smooth val="0"/>
          <c:extLst>
            <c:ext xmlns:c16="http://schemas.microsoft.com/office/drawing/2014/chart" uri="{C3380CC4-5D6E-409C-BE32-E72D297353CC}">
              <c16:uniqueId val="{00000000-DAF8-4069-A6F7-B3D6650E0634}"/>
            </c:ext>
          </c:extLst>
        </c:ser>
        <c:ser>
          <c:idx val="1"/>
          <c:order val="1"/>
          <c:tx>
            <c:strRef>
              <c:f>'Pivot Table'!$C$39:$C$40</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Table'!$A$41:$A$44</c:f>
              <c:strCache>
                <c:ptCount val="3"/>
                <c:pt idx="0">
                  <c:v>Middle Age</c:v>
                </c:pt>
                <c:pt idx="1">
                  <c:v>Old</c:v>
                </c:pt>
                <c:pt idx="2">
                  <c:v>Young</c:v>
                </c:pt>
              </c:strCache>
            </c:strRef>
          </c:cat>
          <c:val>
            <c:numRef>
              <c:f>'Pivot Table'!$C$41:$C$44</c:f>
              <c:numCache>
                <c:formatCode>General</c:formatCode>
                <c:ptCount val="3"/>
                <c:pt idx="0">
                  <c:v>336</c:v>
                </c:pt>
                <c:pt idx="1">
                  <c:v>110</c:v>
                </c:pt>
                <c:pt idx="2">
                  <c:v>35</c:v>
                </c:pt>
              </c:numCache>
            </c:numRef>
          </c:val>
          <c:smooth val="0"/>
          <c:extLst>
            <c:ext xmlns:c16="http://schemas.microsoft.com/office/drawing/2014/chart" uri="{C3380CC4-5D6E-409C-BE32-E72D297353CC}">
              <c16:uniqueId val="{00000001-DAF8-4069-A6F7-B3D6650E0634}"/>
            </c:ext>
          </c:extLst>
        </c:ser>
        <c:dLbls>
          <c:showLegendKey val="0"/>
          <c:showVal val="0"/>
          <c:showCatName val="0"/>
          <c:showSerName val="0"/>
          <c:showPercent val="0"/>
          <c:showBubbleSize val="0"/>
        </c:dLbls>
        <c:marker val="1"/>
        <c:smooth val="0"/>
        <c:axId val="689753295"/>
        <c:axId val="689753711"/>
      </c:lineChart>
      <c:catAx>
        <c:axId val="68975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9753711"/>
        <c:crosses val="autoZero"/>
        <c:auto val="1"/>
        <c:lblAlgn val="ctr"/>
        <c:lblOffset val="100"/>
        <c:noMultiLvlLbl val="0"/>
      </c:catAx>
      <c:valAx>
        <c:axId val="68975371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7532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22-446A-91D0-9D85288FC64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22-446A-91D0-9D85288FC6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Table'!$A$57:$A$59</c:f>
              <c:strCache>
                <c:ptCount val="2"/>
                <c:pt idx="0">
                  <c:v>No</c:v>
                </c:pt>
                <c:pt idx="1">
                  <c:v>Yes</c:v>
                </c:pt>
              </c:strCache>
            </c:strRef>
          </c:cat>
          <c:val>
            <c:numRef>
              <c:f>'Pivot Table'!$B$57:$B$59</c:f>
              <c:numCache>
                <c:formatCode>General</c:formatCode>
                <c:ptCount val="2"/>
                <c:pt idx="0">
                  <c:v>519</c:v>
                </c:pt>
                <c:pt idx="1">
                  <c:v>481</c:v>
                </c:pt>
              </c:numCache>
            </c:numRef>
          </c:val>
          <c:extLst>
            <c:ext xmlns:c16="http://schemas.microsoft.com/office/drawing/2014/chart" uri="{C3380CC4-5D6E-409C-BE32-E72D297353CC}">
              <c16:uniqueId val="{00000004-0B22-446A-91D0-9D85288FC64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60960</xdr:colOff>
      <xdr:row>0</xdr:row>
      <xdr:rowOff>19050</xdr:rowOff>
    </xdr:from>
    <xdr:to>
      <xdr:col>12</xdr:col>
      <xdr:colOff>365760</xdr:colOff>
      <xdr:row>15</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17</xdr:row>
      <xdr:rowOff>49530</xdr:rowOff>
    </xdr:from>
    <xdr:to>
      <xdr:col>12</xdr:col>
      <xdr:colOff>365760</xdr:colOff>
      <xdr:row>32</xdr:row>
      <xdr:rowOff>49530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35</xdr:row>
      <xdr:rowOff>41910</xdr:rowOff>
    </xdr:from>
    <xdr:to>
      <xdr:col>12</xdr:col>
      <xdr:colOff>350520</xdr:colOff>
      <xdr:row>50</xdr:row>
      <xdr:rowOff>41910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99060</xdr:colOff>
      <xdr:row>52</xdr:row>
      <xdr:rowOff>26670</xdr:rowOff>
    </xdr:from>
    <xdr:to>
      <xdr:col>12</xdr:col>
      <xdr:colOff>403860</xdr:colOff>
      <xdr:row>67</xdr:row>
      <xdr:rowOff>26670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435429</xdr:colOff>
      <xdr:row>18</xdr:row>
      <xdr:rowOff>141330</xdr:rowOff>
    </xdr:from>
    <xdr:to>
      <xdr:col>14</xdr:col>
      <xdr:colOff>583660</xdr:colOff>
      <xdr:row>32</xdr:row>
      <xdr:rowOff>97972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581608</xdr:colOff>
      <xdr:row>33</xdr:row>
      <xdr:rowOff>157521</xdr:rowOff>
    </xdr:from>
    <xdr:to>
      <xdr:col>12</xdr:col>
      <xdr:colOff>544286</xdr:colOff>
      <xdr:row>49</xdr:row>
      <xdr:rowOff>65314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83049</xdr:colOff>
      <xdr:row>18</xdr:row>
      <xdr:rowOff>144841</xdr:rowOff>
    </xdr:from>
    <xdr:to>
      <xdr:col>7</xdr:col>
      <xdr:colOff>174171</xdr:colOff>
      <xdr:row>32</xdr:row>
      <xdr:rowOff>130629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56746</xdr:colOff>
      <xdr:row>4</xdr:row>
      <xdr:rowOff>121921</xdr:rowOff>
    </xdr:from>
    <xdr:to>
      <xdr:col>3</xdr:col>
      <xdr:colOff>147736</xdr:colOff>
      <xdr:row>9</xdr:row>
      <xdr:rowOff>101081</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6746" y="843816"/>
              <a:ext cx="1925806" cy="881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304360</xdr:colOff>
      <xdr:row>4</xdr:row>
      <xdr:rowOff>114321</xdr:rowOff>
    </xdr:from>
    <xdr:to>
      <xdr:col>6</xdr:col>
      <xdr:colOff>552061</xdr:colOff>
      <xdr:row>16</xdr:row>
      <xdr:rowOff>113488</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139176" y="836216"/>
              <a:ext cx="2082517" cy="2164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64851</xdr:colOff>
      <xdr:row>10</xdr:row>
      <xdr:rowOff>41598</xdr:rowOff>
    </xdr:from>
    <xdr:to>
      <xdr:col>3</xdr:col>
      <xdr:colOff>132184</xdr:colOff>
      <xdr:row>16</xdr:row>
      <xdr:rowOff>97277</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851" y="1846335"/>
              <a:ext cx="1902149" cy="1138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318795</xdr:colOff>
      <xdr:row>4</xdr:row>
      <xdr:rowOff>85531</xdr:rowOff>
    </xdr:from>
    <xdr:to>
      <xdr:col>14</xdr:col>
      <xdr:colOff>583660</xdr:colOff>
      <xdr:row>16</xdr:row>
      <xdr:rowOff>43543</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84.789618287039" createdVersion="3" refreshedVersion="6" minRefreshableVersion="3" recordCount="1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0"/>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0"/>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0"/>
    <x v="0"/>
  </r>
  <r>
    <n v="14913"/>
    <x v="0"/>
    <x v="0"/>
    <n v="40000"/>
    <n v="1"/>
    <x v="1"/>
    <s v="Clerical"/>
    <s v="Yes"/>
    <n v="1"/>
    <x v="3"/>
    <x v="2"/>
    <n v="48"/>
    <x v="0"/>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3">
  <location ref="A56:B59" firstHeaderRow="1" firstDataRow="1"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baseField="0" baseItem="0"/>
  </dataFields>
  <chartFormats count="4">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0">
    <format dxfId="439">
      <pivotArea outline="0" collapsedLevelsAreSubtotals="1" fieldPosition="0"/>
    </format>
    <format dxfId="438">
      <pivotArea outline="0" collapsedLevelsAreSubtotals="1" fieldPosition="0"/>
    </format>
    <format dxfId="437">
      <pivotArea outline="0" collapsedLevelsAreSubtotals="1" fieldPosition="0"/>
    </format>
    <format dxfId="436">
      <pivotArea outline="0" collapsedLevelsAreSubtotals="1" fieldPosition="0"/>
    </format>
    <format dxfId="435">
      <pivotArea outline="0" collapsedLevelsAreSubtotals="1" fieldPosition="0"/>
    </format>
    <format dxfId="434">
      <pivotArea outline="0" collapsedLevelsAreSubtotals="1" fieldPosition="0"/>
    </format>
    <format dxfId="433">
      <pivotArea outline="0" collapsedLevelsAreSubtotals="1" fieldPosition="0"/>
    </format>
    <format dxfId="432">
      <pivotArea outline="0" collapsedLevelsAreSubtotals="1" fieldPosition="0"/>
    </format>
    <format dxfId="431">
      <pivotArea outline="0" collapsedLevelsAreSubtotals="1" fieldPosition="0"/>
    </format>
    <format dxfId="430">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topLeftCell="B1" workbookViewId="0">
      <selection activeCell="L2" sqref="L2"/>
    </sheetView>
  </sheetViews>
  <sheetFormatPr defaultColWidth="16.77734375"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topLeftCell="A43" workbookViewId="0">
      <selection activeCell="O61" sqref="O61"/>
    </sheetView>
  </sheetViews>
  <sheetFormatPr defaultRowHeight="14.4" x14ac:dyDescent="0.3"/>
  <cols>
    <col min="1" max="1" width="12.5546875" customWidth="1"/>
    <col min="2" max="2" width="21.88671875" customWidth="1"/>
    <col min="3" max="3" width="4" customWidth="1"/>
    <col min="4" max="4" width="10.77734375" customWidth="1"/>
  </cols>
  <sheetData>
    <row r="1" spans="1:4" x14ac:dyDescent="0.3">
      <c r="A1" s="3" t="s">
        <v>43</v>
      </c>
      <c r="B1" s="3" t="s">
        <v>44</v>
      </c>
    </row>
    <row r="2" spans="1:4" x14ac:dyDescent="0.3">
      <c r="A2" s="3" t="s">
        <v>41</v>
      </c>
      <c r="B2" t="s">
        <v>18</v>
      </c>
      <c r="C2" t="s">
        <v>15</v>
      </c>
      <c r="D2" t="s">
        <v>42</v>
      </c>
    </row>
    <row r="3" spans="1:4" x14ac:dyDescent="0.3">
      <c r="A3" s="4" t="s">
        <v>38</v>
      </c>
      <c r="B3" s="6">
        <v>53440</v>
      </c>
      <c r="C3" s="6">
        <v>55774.058577405856</v>
      </c>
      <c r="D3" s="6">
        <v>54580.777096114522</v>
      </c>
    </row>
    <row r="4" spans="1:4" x14ac:dyDescent="0.3">
      <c r="A4" s="4" t="s">
        <v>39</v>
      </c>
      <c r="B4" s="6">
        <v>56208.178438661707</v>
      </c>
      <c r="C4" s="6">
        <v>60123.966942148763</v>
      </c>
      <c r="D4" s="6">
        <v>58062.62230919765</v>
      </c>
    </row>
    <row r="5" spans="1:4" x14ac:dyDescent="0.3">
      <c r="A5" s="4" t="s">
        <v>42</v>
      </c>
      <c r="B5" s="6">
        <v>54874.759152215796</v>
      </c>
      <c r="C5" s="6">
        <v>57962.577962577961</v>
      </c>
      <c r="D5" s="6">
        <v>56360</v>
      </c>
    </row>
    <row r="20" spans="1:4" x14ac:dyDescent="0.3">
      <c r="A20" s="3" t="s">
        <v>45</v>
      </c>
      <c r="B20" s="3" t="s">
        <v>44</v>
      </c>
    </row>
    <row r="21" spans="1:4" x14ac:dyDescent="0.3">
      <c r="A21" s="3" t="s">
        <v>41</v>
      </c>
      <c r="B21" t="s">
        <v>18</v>
      </c>
      <c r="C21" t="s">
        <v>15</v>
      </c>
      <c r="D21" t="s">
        <v>42</v>
      </c>
    </row>
    <row r="22" spans="1:4" x14ac:dyDescent="0.3">
      <c r="A22" s="4" t="s">
        <v>16</v>
      </c>
      <c r="B22" s="5">
        <v>166</v>
      </c>
      <c r="C22" s="5">
        <v>200</v>
      </c>
      <c r="D22" s="5">
        <v>366</v>
      </c>
    </row>
    <row r="23" spans="1:4" x14ac:dyDescent="0.3">
      <c r="A23" s="4" t="s">
        <v>26</v>
      </c>
      <c r="B23" s="5">
        <v>92</v>
      </c>
      <c r="C23" s="5">
        <v>77</v>
      </c>
      <c r="D23" s="5">
        <v>169</v>
      </c>
    </row>
    <row r="24" spans="1:4" x14ac:dyDescent="0.3">
      <c r="A24" s="4" t="s">
        <v>22</v>
      </c>
      <c r="B24" s="5">
        <v>67</v>
      </c>
      <c r="C24" s="5">
        <v>95</v>
      </c>
      <c r="D24" s="5">
        <v>162</v>
      </c>
    </row>
    <row r="25" spans="1:4" x14ac:dyDescent="0.3">
      <c r="A25" s="4" t="s">
        <v>23</v>
      </c>
      <c r="B25" s="5">
        <v>116</v>
      </c>
      <c r="C25" s="5">
        <v>76</v>
      </c>
      <c r="D25" s="5">
        <v>192</v>
      </c>
    </row>
    <row r="26" spans="1:4" x14ac:dyDescent="0.3">
      <c r="A26" s="4" t="s">
        <v>46</v>
      </c>
      <c r="B26" s="5">
        <v>78</v>
      </c>
      <c r="C26" s="5">
        <v>33</v>
      </c>
      <c r="D26" s="5">
        <v>111</v>
      </c>
    </row>
    <row r="27" spans="1:4" x14ac:dyDescent="0.3">
      <c r="A27" s="4" t="s">
        <v>42</v>
      </c>
      <c r="B27" s="5">
        <v>519</v>
      </c>
      <c r="C27" s="5">
        <v>481</v>
      </c>
      <c r="D27" s="5">
        <v>1000</v>
      </c>
    </row>
    <row r="39" spans="1:4" x14ac:dyDescent="0.3">
      <c r="A39" s="3" t="s">
        <v>45</v>
      </c>
      <c r="B39" s="3" t="s">
        <v>44</v>
      </c>
    </row>
    <row r="40" spans="1:4" x14ac:dyDescent="0.3">
      <c r="A40" s="3" t="s">
        <v>41</v>
      </c>
      <c r="B40" t="s">
        <v>18</v>
      </c>
      <c r="C40" t="s">
        <v>15</v>
      </c>
      <c r="D40" t="s">
        <v>42</v>
      </c>
    </row>
    <row r="41" spans="1:4" x14ac:dyDescent="0.3">
      <c r="A41" s="4" t="s">
        <v>47</v>
      </c>
      <c r="B41" s="5">
        <v>305</v>
      </c>
      <c r="C41" s="5">
        <v>336</v>
      </c>
      <c r="D41" s="5">
        <v>641</v>
      </c>
    </row>
    <row r="42" spans="1:4" x14ac:dyDescent="0.3">
      <c r="A42" s="4" t="s">
        <v>48</v>
      </c>
      <c r="B42" s="5">
        <v>166</v>
      </c>
      <c r="C42" s="5">
        <v>110</v>
      </c>
      <c r="D42" s="5">
        <v>276</v>
      </c>
    </row>
    <row r="43" spans="1:4" x14ac:dyDescent="0.3">
      <c r="A43" s="4" t="s">
        <v>49</v>
      </c>
      <c r="B43" s="5">
        <v>48</v>
      </c>
      <c r="C43" s="5">
        <v>35</v>
      </c>
      <c r="D43" s="5">
        <v>83</v>
      </c>
    </row>
    <row r="44" spans="1:4" x14ac:dyDescent="0.3">
      <c r="A44" s="4" t="s">
        <v>42</v>
      </c>
      <c r="B44" s="5">
        <v>519</v>
      </c>
      <c r="C44" s="5">
        <v>481</v>
      </c>
      <c r="D44" s="5">
        <v>1000</v>
      </c>
    </row>
    <row r="56" spans="1:2" x14ac:dyDescent="0.3">
      <c r="A56" s="3" t="s">
        <v>41</v>
      </c>
      <c r="B56" t="s">
        <v>45</v>
      </c>
    </row>
    <row r="57" spans="1:2" x14ac:dyDescent="0.3">
      <c r="A57" s="4" t="s">
        <v>18</v>
      </c>
      <c r="B57" s="5">
        <v>519</v>
      </c>
    </row>
    <row r="58" spans="1:2" x14ac:dyDescent="0.3">
      <c r="A58" s="4" t="s">
        <v>15</v>
      </c>
      <c r="B58" s="5">
        <v>481</v>
      </c>
    </row>
    <row r="59" spans="1:2" x14ac:dyDescent="0.3">
      <c r="A59" s="4" t="s">
        <v>42</v>
      </c>
      <c r="B59" s="5">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showGridLines="0" zoomScale="76" zoomScaleNormal="76" workbookViewId="0">
      <selection activeCell="S25" sqref="S25"/>
    </sheetView>
  </sheetViews>
  <sheetFormatPr defaultRowHeight="14.4" x14ac:dyDescent="0.3"/>
  <sheetData>
    <row r="1" spans="1:16" x14ac:dyDescent="0.3">
      <c r="A1" s="7" t="s">
        <v>50</v>
      </c>
      <c r="B1" s="8"/>
      <c r="C1" s="8"/>
      <c r="D1" s="8"/>
      <c r="E1" s="8"/>
      <c r="F1" s="8"/>
      <c r="G1" s="8"/>
      <c r="H1" s="8"/>
      <c r="I1" s="8"/>
      <c r="J1" s="8"/>
      <c r="K1" s="8"/>
      <c r="L1" s="8"/>
      <c r="M1" s="8"/>
      <c r="N1" s="8"/>
      <c r="O1" s="8"/>
      <c r="P1" s="9"/>
    </row>
    <row r="2" spans="1:16" x14ac:dyDescent="0.3">
      <c r="A2" s="8"/>
      <c r="B2" s="8"/>
      <c r="C2" s="8"/>
      <c r="D2" s="8"/>
      <c r="E2" s="8"/>
      <c r="F2" s="8"/>
      <c r="G2" s="8"/>
      <c r="H2" s="8"/>
      <c r="I2" s="8"/>
      <c r="J2" s="8"/>
      <c r="K2" s="8"/>
      <c r="L2" s="8"/>
      <c r="M2" s="8"/>
      <c r="N2" s="8"/>
      <c r="O2" s="8"/>
      <c r="P2" s="9"/>
    </row>
    <row r="3" spans="1:16" x14ac:dyDescent="0.3">
      <c r="A3" s="8"/>
      <c r="B3" s="8"/>
      <c r="C3" s="8"/>
      <c r="D3" s="8"/>
      <c r="E3" s="8"/>
      <c r="F3" s="8"/>
      <c r="G3" s="8"/>
      <c r="H3" s="8"/>
      <c r="I3" s="8"/>
      <c r="J3" s="8"/>
      <c r="K3" s="8"/>
      <c r="L3" s="8"/>
      <c r="M3" s="8"/>
      <c r="N3" s="8"/>
      <c r="O3" s="8"/>
      <c r="P3" s="9"/>
    </row>
    <row r="4" spans="1:16" x14ac:dyDescent="0.3">
      <c r="A4" s="8"/>
      <c r="B4" s="8"/>
      <c r="C4" s="8"/>
      <c r="D4" s="8"/>
      <c r="E4" s="8"/>
      <c r="F4" s="8"/>
      <c r="G4" s="8"/>
      <c r="H4" s="8"/>
      <c r="I4" s="8"/>
      <c r="J4" s="8"/>
      <c r="K4" s="8"/>
      <c r="L4" s="8"/>
      <c r="M4" s="8"/>
      <c r="N4" s="8"/>
      <c r="O4" s="8"/>
      <c r="P4" s="9"/>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C1" workbookViewId="0">
      <selection activeCell="M2" sqref="M2"/>
    </sheetView>
  </sheetViews>
  <sheetFormatPr defaultColWidth="16.77734375" defaultRowHeight="14.4" x14ac:dyDescent="0.3"/>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 &lt; 30, "Young", IF(L2 &lt;= 50, "Middle Age", "Old"))</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IF(L3 &lt; 30, "Young", IF(L3 &lt;= 50, "Middle Age", "Old"))</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Young</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Young</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Middle Age</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Young</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Old</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Young</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Old</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Old</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 &lt; 30, "Young", IF(L67 &lt;= 50, "Middle Age", "Old"))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Middle Age</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Young</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Young</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Young</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Old</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Young</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Old</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Young</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Young</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Middle Age</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Middle Age</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 &lt; 30, "Young", IF(L131 &lt;= 50, "Middle Age", "Old"))</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IF(L195 &lt; 30, "Young", IF(L195 &lt;= 50, "Middle Age", "Old"))</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 &lt; 30, "Young", IF(L259 &lt;= 50, "Middle Age", "Old"))</f>
        <v>Middle Age</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 &lt; 30, "Young", IF(L323 &lt;= 50, "Middle Age", "Old"))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Middle Age</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Middle Age</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 &lt; 30, "Young", IF(L387 &lt;= 50, "Middle Age", "Old"))</f>
        <v>Middle Age</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 &lt; 30, "Young", IF(L451 &lt;= 50, "Middle Age", "Old"))</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IF(L515 &lt; 30, "Young", IF(L515 &lt;= 50, "Middle Age", "Old"))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 &lt; 30, "Young", IF(L579 &lt;= 50, "Middle Age", "Old"))</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Old</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Middle Age</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IF(L643 &lt; 30, "Young", IF(L643 &lt;= 50, "Middle Age", "Old"))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Middle Age</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Middle Age</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Middle Age</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IF(L707 &lt; 30, "Young", IF(L707 &lt;= 50, "Middle Age", "Old"))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Middle Age</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 &lt; 30, "Young", IF(L771 &lt;= 50, "Middle Age", "Old"))</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Old</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Middle Age</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Middle Age</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 &lt; 30, "Young", IF(L835 &lt;= 50, "Middle Age", "Old"))</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 &lt; 30, "Young", IF(L899 &lt;= 50, "Middle Age", "Old"))</f>
        <v>Young</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Old</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IF(L963 &lt; 30, "Young", IF(L963 &lt;= 50, "Middle Age", "Old"))</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Old</v>
      </c>
      <c r="N100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Dashboard</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2022-03-18T02:50:57Z</dcterms:created>
  <dcterms:modified xsi:type="dcterms:W3CDTF">2026-03-04T09:46:10Z</dcterms:modified>
</cp:coreProperties>
</file>